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81baeb91c3603f/Documents/"/>
    </mc:Choice>
  </mc:AlternateContent>
  <xr:revisionPtr revIDLastSave="5" documentId="8_{1B749CFF-9977-42F8-8265-3832F6E2DD08}" xr6:coauthVersionLast="47" xr6:coauthVersionMax="47" xr10:uidLastSave="{7BB09623-CB50-493A-BAAF-CB3DD4669C09}"/>
  <bookViews>
    <workbookView xWindow="-108" yWindow="-108" windowWidth="23256" windowHeight="12456" xr2:uid="{27813027-D52B-4699-942A-DEB87DE409CB}"/>
  </bookViews>
  <sheets>
    <sheet name="DASHBOARD SHEET" sheetId="6" r:id="rId1"/>
    <sheet name="Sheet1" sheetId="1" r:id="rId2"/>
    <sheet name="Sheet2" sheetId="2" r:id="rId3"/>
    <sheet name="Sheet3" sheetId="3" r:id="rId4"/>
    <sheet name="Sheet4" sheetId="4" r:id="rId5"/>
    <sheet name="Sheet5" sheetId="5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</calcChain>
</file>

<file path=xl/sharedStrings.xml><?xml version="1.0" encoding="utf-8"?>
<sst xmlns="http://schemas.openxmlformats.org/spreadsheetml/2006/main" count="238" uniqueCount="69">
  <si>
    <t>ORDER ID</t>
  </si>
  <si>
    <t>DATE</t>
  </si>
  <si>
    <t>PRODUCT</t>
  </si>
  <si>
    <t>CATEGORY</t>
  </si>
  <si>
    <t>REGION</t>
  </si>
  <si>
    <t>QUANTITY</t>
  </si>
  <si>
    <t>UNIT PRICE</t>
  </si>
  <si>
    <t>SALES</t>
  </si>
  <si>
    <t>PAYMENT MODE</t>
  </si>
  <si>
    <t>ORD001</t>
  </si>
  <si>
    <t>Laptop</t>
  </si>
  <si>
    <t>Electronics</t>
  </si>
  <si>
    <t>North</t>
  </si>
  <si>
    <t>UPI</t>
  </si>
  <si>
    <t>ORD002</t>
  </si>
  <si>
    <t>Mouse</t>
  </si>
  <si>
    <t>Accessories</t>
  </si>
  <si>
    <t>South</t>
  </si>
  <si>
    <t>Cash</t>
  </si>
  <si>
    <t>ORD003</t>
  </si>
  <si>
    <t>Keyboard</t>
  </si>
  <si>
    <t>East</t>
  </si>
  <si>
    <t>Card</t>
  </si>
  <si>
    <t>ORD004</t>
  </si>
  <si>
    <t>Monitor</t>
  </si>
  <si>
    <t>West</t>
  </si>
  <si>
    <t>ORD005</t>
  </si>
  <si>
    <t>Headphones</t>
  </si>
  <si>
    <t>ORD006</t>
  </si>
  <si>
    <t>Printer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</si>
  <si>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</si>
  <si>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</si>
  <si>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</si>
  <si>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</si>
  <si>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</si>
  <si>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</si>
  <si>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</si>
  <si>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</si>
  <si>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</si>
  <si>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</si>
  <si>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</si>
  <si>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</si>
  <si>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</si>
  <si>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</si>
  <si>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</si>
  <si>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</si>
  <si>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</si>
  <si>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</si>
  <si>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</si>
  <si>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</si>
  <si>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</si>
  <si>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</si>
  <si>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</si>
  <si>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</si>
  <si>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</si>
  <si>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</si>
  <si>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</si>
  <si>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</si>
  <si>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</si>
  <si>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</si>
  <si>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</si>
  <si>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</si>
  <si>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</si>
  <si>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</si>
  <si>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Row Labels</t>
  </si>
  <si>
    <t>Grand Total</t>
  </si>
  <si>
    <t>Sum of SALES</t>
  </si>
  <si>
    <t>SALES DASHBOARD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</si>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</sst>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5" xfId="0" applyBorder="1"/>
    <xf numFmtId="14" fontId="0" fillId="0" borderId="1" xfId="0" applyNumberFormat="1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64" fontId="0" fillId="0" borderId="1" xfId="0" applyNumberFormat="1" applyBorder="1"/>
    <xf numFmtId="164" fontId="0" fillId="0" borderId="8" xfId="0" applyNumberFormat="1" applyBorder="1"/>
    <xf numFmtId="164" fontId="1" fillId="0" borderId="3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13"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₹&quot;\ #,##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</a:t>
            </a:r>
            <a:r>
              <a:rPr lang="en-IN" baseline="0"/>
              <a:t> sales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Sheet3!$B$4:$B$6</c:f>
              <c:numCache>
                <c:formatCode>"₹"\ #,##0.00</c:formatCode>
                <c:ptCount val="2"/>
                <c:pt idx="0">
                  <c:v>124080</c:v>
                </c:pt>
                <c:pt idx="1">
                  <c:v>863500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4-4F7A-A0E7-C21C1591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7516096"/>
        <c:axId val="1993973936"/>
      </c:barChart>
      <c:catAx>
        <c:axId val="205751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73936"/>
        <c:crosses val="autoZero"/>
        <c:auto val="1"/>
        <c:lblAlgn val="ctr"/>
        <c:lblOffset val="100"/>
        <c:noMultiLvlLbl val="0"/>
      </c:catAx>
      <c:valAx>
        <c:axId val="19939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1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Region-wise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"₹"\ #,##0.00</c:formatCode>
                <c:ptCount val="4"/>
                <c:pt idx="0">
                  <c:v>252820</c:v>
                </c:pt>
                <c:pt idx="1">
                  <c:v>381100</c:v>
                </c:pt>
                <c:pt idx="2">
                  <c:v>190400</c:v>
                </c:pt>
                <c:pt idx="3">
                  <c:v>163260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9-4968-8885-32663C9D7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805696"/>
        <c:axId val="1993936976"/>
      </c:barChart>
      <c:catAx>
        <c:axId val="18768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36976"/>
        <c:crosses val="autoZero"/>
        <c:auto val="1"/>
        <c:lblAlgn val="ctr"/>
        <c:lblOffset val="100"/>
        <c:noMultiLvlLbl val="0"/>
      </c:catAx>
      <c:valAx>
        <c:axId val="19939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80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[Sales_dashboard.xlsx]Sheet5!PivotTable4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mode-wise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Sheet5!$B$4:$B$7</c:f>
              <c:numCache>
                <c:formatCode>"₹"\ #,##0.00</c:formatCode>
                <c:ptCount val="3"/>
                <c:pt idx="0">
                  <c:v>362050</c:v>
                </c:pt>
                <c:pt idx="1">
                  <c:v>105710</c:v>
                </c:pt>
                <c:pt idx="2">
                  <c:v>519820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C7-445D-A92B-A8FB45433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846720"/>
        <c:axId val="1993938896"/>
      </c:barChart>
      <c:catAx>
        <c:axId val="204884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38896"/>
        <c:crosses val="autoZero"/>
        <c:auto val="1"/>
        <c:lblAlgn val="ctr"/>
        <c:lblOffset val="100"/>
        <c:noMultiLvlLbl val="0"/>
      </c:catAx>
      <c:valAx>
        <c:axId val="199393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84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</a:t>
            </a:r>
            <a:r>
              <a:rPr lang="en-IN" baseline="0"/>
              <a:t> sales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Sheet3!$A$4:$A$6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Sheet3!$B$4:$B$6</c:f>
              <c:numCache>
                <c:formatCode>"₹"\ #,##0.00</c:formatCode>
                <c:ptCount val="2"/>
                <c:pt idx="0">
                  <c:v>124080</c:v>
                </c:pt>
                <c:pt idx="1">
                  <c:v>863500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D-4D01-A8C3-2866850DD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57516096"/>
        <c:axId val="1993973936"/>
      </c:barChart>
      <c:catAx>
        <c:axId val="205751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73936"/>
        <c:crosses val="autoZero"/>
        <c:auto val="1"/>
        <c:lblAlgn val="ctr"/>
        <c:lblOffset val="100"/>
        <c:noMultiLvlLbl val="0"/>
      </c:catAx>
      <c:valAx>
        <c:axId val="199397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51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Region-wise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"₹"\ #,##0.00</c:formatCode>
                <c:ptCount val="4"/>
                <c:pt idx="0">
                  <c:v>252820</c:v>
                </c:pt>
                <c:pt idx="1">
                  <c:v>381100</c:v>
                </c:pt>
                <c:pt idx="2">
                  <c:v>190400</c:v>
                </c:pt>
                <c:pt idx="3">
                  <c:v>163260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9-4FAE-9DC7-BB50D162D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805696"/>
        <c:axId val="1993936976"/>
      </c:barChart>
      <c:catAx>
        <c:axId val="18768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36976"/>
        <c:crosses val="autoZero"/>
        <c:auto val="1"/>
        <c:lblAlgn val="ctr"/>
        <c:lblOffset val="100"/>
        <c:noMultiLvlLbl val="0"/>
      </c:catAx>
      <c:valAx>
        <c:axId val="199393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80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</a:t>
            </a:r>
            <a:r>
              <a:rPr lang="en-IN" baseline="0"/>
              <a:t> mode-wise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</c:strCache>
            </c:strRef>
          </c:cat>
          <c:val>
            <c:numRef>
              <c:f>Sheet5!$B$4:$B$7</c:f>
              <c:numCache>
                <c:formatCode>"₹"\ #,##0.00</c:formatCode>
                <c:ptCount val="3"/>
                <c:pt idx="0">
                  <c:v>362050</c:v>
                </c:pt>
                <c:pt idx="1">
                  <c:v>105710</c:v>
                </c:pt>
                <c:pt idx="2">
                  <c:v>519820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D-43AB-ABCF-940BB0013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846720"/>
        <c:axId val="1993938896"/>
      </c:barChart>
      <c:catAx>
        <c:axId val="204884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938896"/>
        <c:crosses val="autoZero"/>
        <c:auto val="1"/>
        <c:lblAlgn val="ctr"/>
        <c:lblOffset val="100"/>
        <c:noMultiLvlLbl val="0"/>
      </c:catAx>
      <c:valAx>
        <c:axId val="199393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84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232473</xdr:rowOff>
    </xdr:from>
    <xdr:to>
      <xdr:col>5</xdr:col>
      <xdr:colOff>322881</xdr:colOff>
      <xdr:row>18</xdr:row>
      <xdr:rowOff>116236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7D6640-0CE9-4FF4-9089-6980EF013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</xdr:row>
      <xdr:rowOff>0</xdr:rowOff>
    </xdr:from>
    <xdr:to>
      <xdr:col>14</xdr:col>
      <xdr:colOff>387457</xdr:colOff>
      <xdr:row>18</xdr:row>
      <xdr:rowOff>103322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BDA70-BFD2-46CD-92F3-1AE7238EE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5</xdr:col>
      <xdr:colOff>320040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7096A7-64C4-49F9-AF36-8681459D25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45720</xdr:rowOff>
    </xdr:from>
    <xdr:to>
      <xdr:col>11</xdr:col>
      <xdr:colOff>525780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D95524-CE12-2133-B205-60071A474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45720</xdr:rowOff>
    </xdr:from>
    <xdr:to>
      <xdr:col>11</xdr:col>
      <xdr:colOff>525780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495EF-9B4E-5DD7-D485-B1E2C4268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6</xdr:row>
      <xdr:rowOff>45720</xdr:rowOff>
    </xdr:from>
    <xdr:to>
      <xdr:col>11</xdr:col>
      <xdr:colOff>525780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7037E-C377-19E6-C6E1-5EF47F632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bha Varma" refreshedDate="46272.961280787036" createdVersion="8" refreshedVersion="8" minRefreshableVersion="3" recordCount="40" xr:uid="{A54DEFAD-3601-484B-9D4A-178638619EB8}">
  <cacheSource type="worksheet">
    <worksheetSource name="Table1"/>
  </cacheSource>
  <cacheFields count="9">
    <cacheField name="ORDER ID" numFmtId="0">
      <sharedItems/>
    </cacheField>
    <cacheField name="DATE" numFmtId="14">
      <sharedItems containsSemiMixedTypes="0" containsNonDate="0" containsDate="1" containsString="0" minDate="2026-08-01T00:00:00" maxDate="2026-09-10T00:00:00"/>
    </cacheField>
    <cacheField name="PRODUCT" numFmtId="0">
      <sharedItems count="6">
        <s v="Laptop"/>
        <s v="Mouse"/>
        <s v="Keyboard"/>
        <s v="Monitor"/>
        <s v="Headphones"/>
        <s v="Printer"/>
      </sharedItems>
    </cacheField>
    <cacheField name="CATEGORY" numFmtId="0">
      <sharedItems count="2">
        <s v="Electronics"/>
        <s v="Accessories"/>
      </sharedItems>
    </cacheField>
    <cacheField name="REGION" numFmtId="0">
      <sharedItems count="4">
        <s v="North"/>
        <s v="South"/>
        <s v="East"/>
        <s v="West"/>
      </sharedItems>
    </cacheField>
    <cacheField name="QUANTITY" numFmtId="0">
      <sharedItems containsSemiMixedTypes="0" containsString="0" containsNumber="1" containsInteger="1" minValue="1" maxValue="10"/>
    </cacheField>
    <cacheField name="UNIT PRICE" numFmtId="164">
      <sharedItems containsSemiMixedTypes="0" containsString="0" containsNumber="1" containsInteger="1" minValue="650" maxValue="53000"/>
    </cacheField>
    <cacheField name="SALES" numFmtId="164">
      <sharedItems containsSemiMixedTypes="0" containsString="0" containsNumber="1" containsInteger="1" minValue="3500" maxValue="106000"/>
    </cacheField>
    <cacheField name="PAYMENT MODE" numFmtId="0">
      <sharedItems count="3">
        <s v="UPI"/>
        <s v="Cash"/>
        <s v="C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ORD001"/>
    <d v="2026-08-01T00:00:00"/>
    <x v="0"/>
    <x v="0"/>
    <x v="0"/>
    <n v="2"/>
    <n v="45000"/>
    <n v="90000"/>
    <x v="0"/>
  </r>
  <r>
    <s v="ORD002"/>
    <d v="2026-08-02T00:00:00"/>
    <x v="1"/>
    <x v="1"/>
    <x v="1"/>
    <n v="5"/>
    <n v="700"/>
    <n v="3500"/>
    <x v="1"/>
  </r>
  <r>
    <s v="ORD003"/>
    <d v="2026-08-03T00:00:00"/>
    <x v="2"/>
    <x v="1"/>
    <x v="2"/>
    <n v="3"/>
    <n v="1200"/>
    <n v="3600"/>
    <x v="2"/>
  </r>
  <r>
    <s v="ORD004"/>
    <d v="2026-08-04T00:00:00"/>
    <x v="3"/>
    <x v="0"/>
    <x v="3"/>
    <n v="2"/>
    <n v="12000"/>
    <n v="24000"/>
    <x v="0"/>
  </r>
  <r>
    <s v="ORD005"/>
    <d v="2026-08-05T00:00:00"/>
    <x v="4"/>
    <x v="1"/>
    <x v="0"/>
    <n v="4"/>
    <n v="1800"/>
    <n v="7200"/>
    <x v="2"/>
  </r>
  <r>
    <s v="ORD006"/>
    <d v="2026-08-06T00:00:00"/>
    <x v="5"/>
    <x v="0"/>
    <x v="1"/>
    <n v="1"/>
    <n v="15000"/>
    <n v="15000"/>
    <x v="0"/>
  </r>
  <r>
    <s v="ORD007"/>
    <d v="2026-08-07T00:00:00"/>
    <x v="0"/>
    <x v="0"/>
    <x v="2"/>
    <n v="1"/>
    <n v="52000"/>
    <n v="52000"/>
    <x v="2"/>
  </r>
  <r>
    <s v="ORD008"/>
    <d v="2026-08-08T00:00:00"/>
    <x v="1"/>
    <x v="1"/>
    <x v="3"/>
    <n v="8"/>
    <n v="650"/>
    <n v="5200"/>
    <x v="1"/>
  </r>
  <r>
    <s v="ORD009"/>
    <d v="2026-08-09T00:00:00"/>
    <x v="2"/>
    <x v="1"/>
    <x v="0"/>
    <n v="4"/>
    <n v="1100"/>
    <n v="4400"/>
    <x v="0"/>
  </r>
  <r>
    <s v="ORD010"/>
    <d v="2026-08-10T00:00:00"/>
    <x v="3"/>
    <x v="0"/>
    <x v="1"/>
    <n v="3"/>
    <n v="13500"/>
    <n v="40500"/>
    <x v="2"/>
  </r>
  <r>
    <s v="ORD011"/>
    <d v="2026-08-11T00:00:00"/>
    <x v="4"/>
    <x v="1"/>
    <x v="2"/>
    <n v="6"/>
    <n v="1600"/>
    <n v="9600"/>
    <x v="0"/>
  </r>
  <r>
    <s v="ORD012"/>
    <d v="2026-08-12T00:00:00"/>
    <x v="5"/>
    <x v="0"/>
    <x v="3"/>
    <n v="2"/>
    <n v="14500"/>
    <n v="29000"/>
    <x v="1"/>
  </r>
  <r>
    <s v="ORD013"/>
    <d v="2026-08-13T00:00:00"/>
    <x v="0"/>
    <x v="0"/>
    <x v="0"/>
    <n v="1"/>
    <n v="48000"/>
    <n v="48000"/>
    <x v="2"/>
  </r>
  <r>
    <s v="ORD014"/>
    <d v="2026-08-14T00:00:00"/>
    <x v="1"/>
    <x v="1"/>
    <x v="1"/>
    <n v="10"/>
    <n v="750"/>
    <n v="7500"/>
    <x v="0"/>
  </r>
  <r>
    <s v="ORD015"/>
    <d v="2026-08-15T00:00:00"/>
    <x v="2"/>
    <x v="1"/>
    <x v="2"/>
    <n v="5"/>
    <n v="1300"/>
    <n v="6500"/>
    <x v="1"/>
  </r>
  <r>
    <s v="ORD016"/>
    <d v="2026-08-16T00:00:00"/>
    <x v="3"/>
    <x v="0"/>
    <x v="3"/>
    <n v="1"/>
    <n v="12500"/>
    <n v="12500"/>
    <x v="2"/>
  </r>
  <r>
    <s v="ORD017"/>
    <d v="2026-08-17T00:00:00"/>
    <x v="4"/>
    <x v="1"/>
    <x v="0"/>
    <n v="3"/>
    <n v="2000"/>
    <n v="6000"/>
    <x v="0"/>
  </r>
  <r>
    <s v="ORD018"/>
    <d v="2026-08-18T00:00:00"/>
    <x v="5"/>
    <x v="0"/>
    <x v="1"/>
    <n v="1"/>
    <n v="15500"/>
    <n v="15500"/>
    <x v="2"/>
  </r>
  <r>
    <s v="ORD019"/>
    <d v="2026-08-19T00:00:00"/>
    <x v="0"/>
    <x v="0"/>
    <x v="2"/>
    <n v="2"/>
    <n v="51000"/>
    <n v="102000"/>
    <x v="0"/>
  </r>
  <r>
    <s v="ORD020"/>
    <d v="2026-08-20T00:00:00"/>
    <x v="1"/>
    <x v="1"/>
    <x v="3"/>
    <n v="7"/>
    <n v="680"/>
    <n v="4760"/>
    <x v="1"/>
  </r>
  <r>
    <s v="ORD021"/>
    <d v="2026-08-21T00:00:00"/>
    <x v="2"/>
    <x v="1"/>
    <x v="0"/>
    <n v="6"/>
    <n v="1150"/>
    <n v="6900"/>
    <x v="2"/>
  </r>
  <r>
    <s v="ORD022"/>
    <d v="2026-08-22T00:00:00"/>
    <x v="3"/>
    <x v="0"/>
    <x v="1"/>
    <n v="2"/>
    <n v="14000"/>
    <n v="28000"/>
    <x v="0"/>
  </r>
  <r>
    <s v="ORD023"/>
    <d v="2026-08-23T00:00:00"/>
    <x v="4"/>
    <x v="1"/>
    <x v="2"/>
    <n v="5"/>
    <n v="1750"/>
    <n v="8750"/>
    <x v="1"/>
  </r>
  <r>
    <s v="ORD024"/>
    <d v="2026-08-24T00:00:00"/>
    <x v="5"/>
    <x v="0"/>
    <x v="3"/>
    <n v="1"/>
    <n v="16000"/>
    <n v="16000"/>
    <x v="2"/>
  </r>
  <r>
    <s v="ORD025"/>
    <d v="2026-08-25T00:00:00"/>
    <x v="0"/>
    <x v="0"/>
    <x v="0"/>
    <n v="2"/>
    <n v="49500"/>
    <n v="99000"/>
    <x v="0"/>
  </r>
  <r>
    <s v="ORD026"/>
    <d v="2026-08-26T00:00:00"/>
    <x v="1"/>
    <x v="1"/>
    <x v="1"/>
    <n v="9"/>
    <n v="720"/>
    <n v="6480"/>
    <x v="1"/>
  </r>
  <r>
    <s v="ORD027"/>
    <d v="2026-08-27T00:00:00"/>
    <x v="2"/>
    <x v="1"/>
    <x v="2"/>
    <n v="3"/>
    <n v="1250"/>
    <n v="3750"/>
    <x v="2"/>
  </r>
  <r>
    <s v="ORD028"/>
    <d v="2026-08-28T00:00:00"/>
    <x v="3"/>
    <x v="0"/>
    <x v="3"/>
    <n v="2"/>
    <n v="13000"/>
    <n v="26000"/>
    <x v="0"/>
  </r>
  <r>
    <s v="ORD029"/>
    <d v="2026-08-29T00:00:00"/>
    <x v="4"/>
    <x v="1"/>
    <x v="0"/>
    <n v="4"/>
    <n v="1900"/>
    <n v="7600"/>
    <x v="2"/>
  </r>
  <r>
    <s v="ORD030"/>
    <d v="2026-08-30T00:00:00"/>
    <x v="5"/>
    <x v="0"/>
    <x v="1"/>
    <n v="2"/>
    <n v="15000"/>
    <n v="30000"/>
    <x v="1"/>
  </r>
  <r>
    <s v="ORD031"/>
    <d v="2026-08-31T00:00:00"/>
    <x v="0"/>
    <x v="0"/>
    <x v="2"/>
    <n v="1"/>
    <n v="50000"/>
    <n v="50000"/>
    <x v="0"/>
  </r>
  <r>
    <s v="ORD032"/>
    <d v="2026-09-01T00:00:00"/>
    <x v="1"/>
    <x v="1"/>
    <x v="3"/>
    <n v="6"/>
    <n v="700"/>
    <n v="4200"/>
    <x v="2"/>
  </r>
  <r>
    <s v="ORD033"/>
    <d v="2026-09-02T00:00:00"/>
    <x v="2"/>
    <x v="1"/>
    <x v="0"/>
    <n v="5"/>
    <n v="1200"/>
    <n v="6000"/>
    <x v="1"/>
  </r>
  <r>
    <s v="ORD034"/>
    <d v="2026-09-03T00:00:00"/>
    <x v="3"/>
    <x v="0"/>
    <x v="1"/>
    <n v="3"/>
    <n v="12800"/>
    <n v="38400"/>
    <x v="0"/>
  </r>
  <r>
    <s v="ORD035"/>
    <d v="2026-09-04T00:00:00"/>
    <x v="4"/>
    <x v="1"/>
    <x v="2"/>
    <n v="7"/>
    <n v="1700"/>
    <n v="11900"/>
    <x v="2"/>
  </r>
  <r>
    <s v="ORD036"/>
    <d v="2026-09-05T00:00:00"/>
    <x v="5"/>
    <x v="0"/>
    <x v="3"/>
    <n v="1"/>
    <n v="15200"/>
    <n v="15200"/>
    <x v="0"/>
  </r>
  <r>
    <s v="ORD037"/>
    <d v="2026-09-06T00:00:00"/>
    <x v="0"/>
    <x v="0"/>
    <x v="0"/>
    <n v="2"/>
    <n v="53000"/>
    <n v="106000"/>
    <x v="2"/>
  </r>
  <r>
    <s v="ORD038"/>
    <d v="2026-09-07T00:00:00"/>
    <x v="1"/>
    <x v="1"/>
    <x v="1"/>
    <n v="8"/>
    <n v="690"/>
    <n v="5520"/>
    <x v="1"/>
  </r>
  <r>
    <s v="ORD039"/>
    <d v="2026-09-08T00:00:00"/>
    <x v="2"/>
    <x v="1"/>
    <x v="2"/>
    <n v="4"/>
    <n v="1180"/>
    <n v="4720"/>
    <x v="0"/>
  </r>
  <r>
    <s v="ORD040"/>
    <d v="2026-09-09T00:00:00"/>
    <x v="3"/>
    <x v="0"/>
    <x v="3"/>
    <n v="2"/>
    <n v="13200"/>
    <n v="264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EFF64-84C2-4A80-BBBD-C613BED18E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9">
    <pivotField showAll="0"/>
    <pivotField numFmtId="14" showAll="0"/>
    <pivotField axis="axisRow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F0666-AF24-4433-A88D-CD4635AF5DB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6" firstHeaderRow="1" firstDataRow="1" firstDataCol="1"/>
  <pivotFields count="9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numFmtId="164" showAll="0"/>
    <pivotField dataField="1" numFmtId="164"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80DD4-98E6-48C0-BB34-4ABFFB7A03A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9">
    <pivotField showAll="0"/>
    <pivotField numFmtId="14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numFmtId="164" showAll="0"/>
    <pivotField dataField="1" numFmtId="164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A04E7-A498-4116-B314-97EA5FC0788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9">
    <pivotField showAll="0"/>
    <pivotField numFmtId="14" showAll="0"/>
    <pivotField showAll="0"/>
    <pivotField showAll="0"/>
    <pivotField showAll="0"/>
    <pivotField showAll="0"/>
    <pivotField numFmtId="164" showAll="0"/>
    <pivotField dataField="1" numFmtId="164" showAll="0"/>
    <pivotField axis="axisRow" showAll="0">
      <items count="4">
        <item x="2"/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F5472D-FA3D-4A23-9209-06E263AD09A1}" name="Table1" displayName="Table1" ref="A1:I41" totalsRowShown="0" headerRowDxfId="12" headerRowBorderDxfId="11" tableBorderDxfId="10" totalsRowBorderDxfId="9">
  <autoFilter ref="A1:I41" xr:uid="{96F5472D-FA3D-4A23-9209-06E263AD09A1}"/>
  <sortState xmlns:xlrd2="http://schemas.microsoft.com/office/spreadsheetml/2017/richdata2" ref="A2:I41">
    <sortCondition ref="A1:A41"/>
  </sortState>
  <tableColumns count="9">
    <tableColumn id="1" xr3:uid="{35ACAEEB-0231-4FF8-845A-0D23A9ED9809}" name="ORDER ID" dataDxfId="8"/>
    <tableColumn id="2" xr3:uid="{FD494EBA-7024-4D9C-9786-01A6F85894C4}" name="DATE" dataDxfId="7"/>
    <tableColumn id="3" xr3:uid="{14D4D604-60E7-45ED-92EB-B5BC14329B99}" name="PRODUCT" dataDxfId="6"/>
    <tableColumn id="4" xr3:uid="{41212088-9E35-4D1B-8884-E5AF527511A4}" name="CATEGORY" dataDxfId="5"/>
    <tableColumn id="5" xr3:uid="{52AE460C-8DB2-4DC7-BC83-F9C4C0699F7B}" name="REGION" dataDxfId="4"/>
    <tableColumn id="6" xr3:uid="{76A24580-E68A-407A-86C7-0BC692E526C3}" name="QUANTITY" dataDxfId="3"/>
    <tableColumn id="7" xr3:uid="{9792C71D-6B49-475F-AC66-9C94CF3E02D3}" name="UNIT PRICE" dataDxfId="2"/>
    <tableColumn id="8" xr3:uid="{5BEBCF8B-4CC3-47BC-B985-2FE5A7B75BE3}" name="SALES" dataDxfId="1">
      <calculatedColumnFormula>F2*G2</calculatedColumnFormula>
    </tableColumn>
    <tableColumn id="9" xr3:uid="{77BE02E2-E768-43EC-8398-3FD6329B9B3E}" name="PAYMENT MODE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F5E0-1F3F-4511-84C8-9E76C883CD48}">
  <dimension ref="A1:O3"/>
  <sheetViews>
    <sheetView showGridLines="0" tabSelected="1" zoomScale="88" zoomScaleNormal="88" workbookViewId="0">
      <selection activeCell="H21" sqref="H21"/>
    </sheetView>
  </sheetViews>
  <sheetFormatPr defaultRowHeight="14.4" x14ac:dyDescent="0.3"/>
  <cols>
    <col min="2" max="2" width="35.5546875" bestFit="1" customWidth="1"/>
    <col min="3" max="3" width="15.5546875" bestFit="1" customWidth="1"/>
  </cols>
  <sheetData>
    <row r="1" spans="1:15" ht="28.8" x14ac:dyDescent="0.55000000000000004">
      <c r="A1" s="20" t="s">
        <v>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3" spans="1:15" ht="18" x14ac:dyDescent="0.35">
      <c r="B3" s="18" t="s">
        <v>68</v>
      </c>
      <c r="C3" s="19">
        <v>987580</v>
      </c>
    </row>
  </sheetData>
  <mergeCells count="1">
    <mergeCell ref="A1:O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54C9-AC1A-4247-ACA7-FE696D23B42C}">
  <dimension ref="A1:I41"/>
  <sheetViews>
    <sheetView topLeftCell="A2" zoomScale="89" zoomScaleNormal="89" workbookViewId="0">
      <selection activeCell="K20" sqref="K20"/>
    </sheetView>
  </sheetViews>
  <sheetFormatPr defaultRowHeight="14.4" x14ac:dyDescent="0.3"/>
  <cols>
    <col min="1" max="1" width="11.33203125" bestFit="1" customWidth="1"/>
    <col min="2" max="2" width="10.33203125" bestFit="1" customWidth="1"/>
    <col min="3" max="3" width="11.5546875" bestFit="1" customWidth="1"/>
    <col min="4" max="4" width="12.33203125" bestFit="1" customWidth="1"/>
    <col min="5" max="5" width="9.88671875" bestFit="1" customWidth="1"/>
    <col min="6" max="6" width="11.5546875" bestFit="1" customWidth="1"/>
    <col min="7" max="7" width="12.5546875" bestFit="1" customWidth="1"/>
    <col min="8" max="8" width="12" bestFit="1" customWidth="1"/>
    <col min="9" max="9" width="16.88671875" bestFit="1" customWidth="1"/>
  </cols>
  <sheetData>
    <row r="1" spans="1:9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4" t="s">
        <v>7</v>
      </c>
      <c r="I1" s="11" t="s">
        <v>8</v>
      </c>
    </row>
    <row r="2" spans="1:9" x14ac:dyDescent="0.3">
      <c r="A2" s="1" t="s">
        <v>9</v>
      </c>
      <c r="B2" s="2">
        <v>46235</v>
      </c>
      <c r="C2" s="3" t="s">
        <v>10</v>
      </c>
      <c r="D2" s="3" t="s">
        <v>11</v>
      </c>
      <c r="E2" s="3" t="s">
        <v>12</v>
      </c>
      <c r="F2" s="3">
        <v>2</v>
      </c>
      <c r="G2" s="12">
        <v>45000</v>
      </c>
      <c r="H2" s="12">
        <f t="shared" ref="H2:H41" si="0">F2*G2</f>
        <v>90000</v>
      </c>
      <c r="I2" s="4" t="s">
        <v>13</v>
      </c>
    </row>
    <row r="3" spans="1:9" x14ac:dyDescent="0.3">
      <c r="A3" s="1" t="s">
        <v>14</v>
      </c>
      <c r="B3" s="2">
        <v>46236</v>
      </c>
      <c r="C3" s="3" t="s">
        <v>15</v>
      </c>
      <c r="D3" s="3" t="s">
        <v>16</v>
      </c>
      <c r="E3" s="3" t="s">
        <v>17</v>
      </c>
      <c r="F3" s="3">
        <v>5</v>
      </c>
      <c r="G3" s="12">
        <v>700</v>
      </c>
      <c r="H3" s="12">
        <f t="shared" si="0"/>
        <v>3500</v>
      </c>
      <c r="I3" s="4" t="s">
        <v>18</v>
      </c>
    </row>
    <row r="4" spans="1:9" x14ac:dyDescent="0.3">
      <c r="A4" s="1" t="s">
        <v>19</v>
      </c>
      <c r="B4" s="2">
        <v>46237</v>
      </c>
      <c r="C4" s="3" t="s">
        <v>20</v>
      </c>
      <c r="D4" s="3" t="s">
        <v>16</v>
      </c>
      <c r="E4" s="3" t="s">
        <v>21</v>
      </c>
      <c r="F4" s="3">
        <v>3</v>
      </c>
      <c r="G4" s="12">
        <v>1200</v>
      </c>
      <c r="H4" s="12">
        <f t="shared" si="0"/>
        <v>3600</v>
      </c>
      <c r="I4" s="4" t="s">
        <v>22</v>
      </c>
    </row>
    <row r="5" spans="1:9" x14ac:dyDescent="0.3">
      <c r="A5" s="1" t="s">
        <v>23</v>
      </c>
      <c r="B5" s="2">
        <v>46238</v>
      </c>
      <c r="C5" s="3" t="s">
        <v>24</v>
      </c>
      <c r="D5" s="3" t="s">
        <v>11</v>
      </c>
      <c r="E5" s="3" t="s">
        <v>25</v>
      </c>
      <c r="F5" s="3">
        <v>2</v>
      </c>
      <c r="G5" s="12">
        <v>12000</v>
      </c>
      <c r="H5" s="12">
        <f t="shared" si="0"/>
        <v>24000</v>
      </c>
      <c r="I5" s="4" t="s">
        <v>13</v>
      </c>
    </row>
    <row r="6" spans="1:9" x14ac:dyDescent="0.3">
      <c r="A6" s="1" t="s">
        <v>26</v>
      </c>
      <c r="B6" s="2">
        <v>46239</v>
      </c>
      <c r="C6" s="3" t="s">
        <v>27</v>
      </c>
      <c r="D6" s="3" t="s">
        <v>16</v>
      </c>
      <c r="E6" s="3" t="s">
        <v>12</v>
      </c>
      <c r="F6" s="3">
        <v>4</v>
      </c>
      <c r="G6" s="12">
        <v>1800</v>
      </c>
      <c r="H6" s="12">
        <f t="shared" si="0"/>
        <v>7200</v>
      </c>
      <c r="I6" s="4" t="s">
        <v>22</v>
      </c>
    </row>
    <row r="7" spans="1:9" x14ac:dyDescent="0.3">
      <c r="A7" s="1" t="s">
        <v>28</v>
      </c>
      <c r="B7" s="2">
        <v>46240</v>
      </c>
      <c r="C7" s="3" t="s">
        <v>29</v>
      </c>
      <c r="D7" s="3" t="s">
        <v>11</v>
      </c>
      <c r="E7" s="3" t="s">
        <v>17</v>
      </c>
      <c r="F7" s="3">
        <v>1</v>
      </c>
      <c r="G7" s="12">
        <v>15000</v>
      </c>
      <c r="H7" s="12">
        <f t="shared" si="0"/>
        <v>15000</v>
      </c>
      <c r="I7" s="4" t="s">
        <v>13</v>
      </c>
    </row>
    <row r="8" spans="1:9" x14ac:dyDescent="0.3">
      <c r="A8" s="1" t="s">
        <v>30</v>
      </c>
      <c r="B8" s="2">
        <v>46241</v>
      </c>
      <c r="C8" s="3" t="s">
        <v>10</v>
      </c>
      <c r="D8" s="3" t="s">
        <v>11</v>
      </c>
      <c r="E8" s="3" t="s">
        <v>21</v>
      </c>
      <c r="F8" s="3">
        <v>1</v>
      </c>
      <c r="G8" s="12">
        <v>52000</v>
      </c>
      <c r="H8" s="12">
        <f t="shared" si="0"/>
        <v>52000</v>
      </c>
      <c r="I8" s="4" t="s">
        <v>22</v>
      </c>
    </row>
    <row r="9" spans="1:9" x14ac:dyDescent="0.3">
      <c r="A9" s="1" t="s">
        <v>31</v>
      </c>
      <c r="B9" s="2">
        <v>46242</v>
      </c>
      <c r="C9" s="3" t="s">
        <v>15</v>
      </c>
      <c r="D9" s="3" t="s">
        <v>16</v>
      </c>
      <c r="E9" s="3" t="s">
        <v>25</v>
      </c>
      <c r="F9" s="3">
        <v>8</v>
      </c>
      <c r="G9" s="12">
        <v>650</v>
      </c>
      <c r="H9" s="12">
        <f t="shared" si="0"/>
        <v>5200</v>
      </c>
      <c r="I9" s="4" t="s">
        <v>18</v>
      </c>
    </row>
    <row r="10" spans="1:9" x14ac:dyDescent="0.3">
      <c r="A10" s="1" t="s">
        <v>32</v>
      </c>
      <c r="B10" s="2">
        <v>46243</v>
      </c>
      <c r="C10" s="3" t="s">
        <v>20</v>
      </c>
      <c r="D10" s="3" t="s">
        <v>16</v>
      </c>
      <c r="E10" s="3" t="s">
        <v>12</v>
      </c>
      <c r="F10" s="3">
        <v>4</v>
      </c>
      <c r="G10" s="12">
        <v>1100</v>
      </c>
      <c r="H10" s="12">
        <f t="shared" si="0"/>
        <v>4400</v>
      </c>
      <c r="I10" s="4" t="s">
        <v>13</v>
      </c>
    </row>
    <row r="11" spans="1:9" x14ac:dyDescent="0.3">
      <c r="A11" s="1" t="s">
        <v>33</v>
      </c>
      <c r="B11" s="2">
        <v>46244</v>
      </c>
      <c r="C11" s="3" t="s">
        <v>24</v>
      </c>
      <c r="D11" s="3" t="s">
        <v>11</v>
      </c>
      <c r="E11" s="3" t="s">
        <v>17</v>
      </c>
      <c r="F11" s="3">
        <v>3</v>
      </c>
      <c r="G11" s="12">
        <v>13500</v>
      </c>
      <c r="H11" s="12">
        <f t="shared" si="0"/>
        <v>40500</v>
      </c>
      <c r="I11" s="4" t="s">
        <v>22</v>
      </c>
    </row>
    <row r="12" spans="1:9" x14ac:dyDescent="0.3">
      <c r="A12" s="1" t="s">
        <v>34</v>
      </c>
      <c r="B12" s="2">
        <v>46245</v>
      </c>
      <c r="C12" s="3" t="s">
        <v>27</v>
      </c>
      <c r="D12" s="3" t="s">
        <v>16</v>
      </c>
      <c r="E12" s="3" t="s">
        <v>21</v>
      </c>
      <c r="F12" s="3">
        <v>6</v>
      </c>
      <c r="G12" s="12">
        <v>1600</v>
      </c>
      <c r="H12" s="12">
        <f t="shared" si="0"/>
        <v>9600</v>
      </c>
      <c r="I12" s="4" t="s">
        <v>13</v>
      </c>
    </row>
    <row r="13" spans="1:9" x14ac:dyDescent="0.3">
      <c r="A13" s="1" t="s">
        <v>35</v>
      </c>
      <c r="B13" s="2">
        <v>46246</v>
      </c>
      <c r="C13" s="3" t="s">
        <v>29</v>
      </c>
      <c r="D13" s="3" t="s">
        <v>11</v>
      </c>
      <c r="E13" s="3" t="s">
        <v>25</v>
      </c>
      <c r="F13" s="3">
        <v>2</v>
      </c>
      <c r="G13" s="12">
        <v>14500</v>
      </c>
      <c r="H13" s="12">
        <f t="shared" si="0"/>
        <v>29000</v>
      </c>
      <c r="I13" s="4" t="s">
        <v>18</v>
      </c>
    </row>
    <row r="14" spans="1:9" x14ac:dyDescent="0.3">
      <c r="A14" s="1" t="s">
        <v>36</v>
      </c>
      <c r="B14" s="2">
        <v>46247</v>
      </c>
      <c r="C14" s="3" t="s">
        <v>10</v>
      </c>
      <c r="D14" s="3" t="s">
        <v>11</v>
      </c>
      <c r="E14" s="3" t="s">
        <v>12</v>
      </c>
      <c r="F14" s="3">
        <v>1</v>
      </c>
      <c r="G14" s="12">
        <v>48000</v>
      </c>
      <c r="H14" s="12">
        <f t="shared" si="0"/>
        <v>48000</v>
      </c>
      <c r="I14" s="4" t="s">
        <v>22</v>
      </c>
    </row>
    <row r="15" spans="1:9" x14ac:dyDescent="0.3">
      <c r="A15" s="1" t="s">
        <v>37</v>
      </c>
      <c r="B15" s="2">
        <v>46248</v>
      </c>
      <c r="C15" s="3" t="s">
        <v>15</v>
      </c>
      <c r="D15" s="3" t="s">
        <v>16</v>
      </c>
      <c r="E15" s="3" t="s">
        <v>17</v>
      </c>
      <c r="F15" s="3">
        <v>10</v>
      </c>
      <c r="G15" s="12">
        <v>750</v>
      </c>
      <c r="H15" s="12">
        <f t="shared" si="0"/>
        <v>7500</v>
      </c>
      <c r="I15" s="4" t="s">
        <v>13</v>
      </c>
    </row>
    <row r="16" spans="1:9" x14ac:dyDescent="0.3">
      <c r="A16" s="1" t="s">
        <v>38</v>
      </c>
      <c r="B16" s="2">
        <v>46249</v>
      </c>
      <c r="C16" s="3" t="s">
        <v>20</v>
      </c>
      <c r="D16" s="3" t="s">
        <v>16</v>
      </c>
      <c r="E16" s="3" t="s">
        <v>21</v>
      </c>
      <c r="F16" s="3">
        <v>5</v>
      </c>
      <c r="G16" s="12">
        <v>1300</v>
      </c>
      <c r="H16" s="12">
        <f t="shared" si="0"/>
        <v>6500</v>
      </c>
      <c r="I16" s="4" t="s">
        <v>18</v>
      </c>
    </row>
    <row r="17" spans="1:9" x14ac:dyDescent="0.3">
      <c r="A17" s="1" t="s">
        <v>39</v>
      </c>
      <c r="B17" s="2">
        <v>46250</v>
      </c>
      <c r="C17" s="3" t="s">
        <v>24</v>
      </c>
      <c r="D17" s="3" t="s">
        <v>11</v>
      </c>
      <c r="E17" s="3" t="s">
        <v>25</v>
      </c>
      <c r="F17" s="3">
        <v>1</v>
      </c>
      <c r="G17" s="12">
        <v>12500</v>
      </c>
      <c r="H17" s="12">
        <f t="shared" si="0"/>
        <v>12500</v>
      </c>
      <c r="I17" s="4" t="s">
        <v>22</v>
      </c>
    </row>
    <row r="18" spans="1:9" x14ac:dyDescent="0.3">
      <c r="A18" s="1" t="s">
        <v>40</v>
      </c>
      <c r="B18" s="2">
        <v>46251</v>
      </c>
      <c r="C18" s="3" t="s">
        <v>27</v>
      </c>
      <c r="D18" s="3" t="s">
        <v>16</v>
      </c>
      <c r="E18" s="3" t="s">
        <v>12</v>
      </c>
      <c r="F18" s="3">
        <v>3</v>
      </c>
      <c r="G18" s="12">
        <v>2000</v>
      </c>
      <c r="H18" s="12">
        <f t="shared" si="0"/>
        <v>6000</v>
      </c>
      <c r="I18" s="4" t="s">
        <v>13</v>
      </c>
    </row>
    <row r="19" spans="1:9" x14ac:dyDescent="0.3">
      <c r="A19" s="1" t="s">
        <v>41</v>
      </c>
      <c r="B19" s="2">
        <v>46252</v>
      </c>
      <c r="C19" s="3" t="s">
        <v>29</v>
      </c>
      <c r="D19" s="3" t="s">
        <v>11</v>
      </c>
      <c r="E19" s="3" t="s">
        <v>17</v>
      </c>
      <c r="F19" s="3">
        <v>1</v>
      </c>
      <c r="G19" s="12">
        <v>15500</v>
      </c>
      <c r="H19" s="12">
        <f t="shared" si="0"/>
        <v>15500</v>
      </c>
      <c r="I19" s="4" t="s">
        <v>22</v>
      </c>
    </row>
    <row r="20" spans="1:9" x14ac:dyDescent="0.3">
      <c r="A20" s="1" t="s">
        <v>42</v>
      </c>
      <c r="B20" s="2">
        <v>46253</v>
      </c>
      <c r="C20" s="3" t="s">
        <v>10</v>
      </c>
      <c r="D20" s="3" t="s">
        <v>11</v>
      </c>
      <c r="E20" s="3" t="s">
        <v>21</v>
      </c>
      <c r="F20" s="3">
        <v>2</v>
      </c>
      <c r="G20" s="12">
        <v>51000</v>
      </c>
      <c r="H20" s="12">
        <f t="shared" si="0"/>
        <v>102000</v>
      </c>
      <c r="I20" s="4" t="s">
        <v>13</v>
      </c>
    </row>
    <row r="21" spans="1:9" x14ac:dyDescent="0.3">
      <c r="A21" s="1" t="s">
        <v>43</v>
      </c>
      <c r="B21" s="2">
        <v>46254</v>
      </c>
      <c r="C21" s="3" t="s">
        <v>15</v>
      </c>
      <c r="D21" s="3" t="s">
        <v>16</v>
      </c>
      <c r="E21" s="3" t="s">
        <v>25</v>
      </c>
      <c r="F21" s="3">
        <v>7</v>
      </c>
      <c r="G21" s="12">
        <v>680</v>
      </c>
      <c r="H21" s="12">
        <f t="shared" si="0"/>
        <v>4760</v>
      </c>
      <c r="I21" s="4" t="s">
        <v>18</v>
      </c>
    </row>
    <row r="22" spans="1:9" x14ac:dyDescent="0.3">
      <c r="A22" s="1" t="s">
        <v>44</v>
      </c>
      <c r="B22" s="2">
        <v>46255</v>
      </c>
      <c r="C22" s="3" t="s">
        <v>20</v>
      </c>
      <c r="D22" s="3" t="s">
        <v>16</v>
      </c>
      <c r="E22" s="3" t="s">
        <v>12</v>
      </c>
      <c r="F22" s="3">
        <v>6</v>
      </c>
      <c r="G22" s="12">
        <v>1150</v>
      </c>
      <c r="H22" s="12">
        <f t="shared" si="0"/>
        <v>6900</v>
      </c>
      <c r="I22" s="4" t="s">
        <v>22</v>
      </c>
    </row>
    <row r="23" spans="1:9" x14ac:dyDescent="0.3">
      <c r="A23" s="1" t="s">
        <v>45</v>
      </c>
      <c r="B23" s="2">
        <v>46256</v>
      </c>
      <c r="C23" s="3" t="s">
        <v>24</v>
      </c>
      <c r="D23" s="3" t="s">
        <v>11</v>
      </c>
      <c r="E23" s="3" t="s">
        <v>17</v>
      </c>
      <c r="F23" s="3">
        <v>2</v>
      </c>
      <c r="G23" s="12">
        <v>14000</v>
      </c>
      <c r="H23" s="12">
        <f t="shared" si="0"/>
        <v>28000</v>
      </c>
      <c r="I23" s="4" t="s">
        <v>13</v>
      </c>
    </row>
    <row r="24" spans="1:9" x14ac:dyDescent="0.3">
      <c r="A24" s="1" t="s">
        <v>46</v>
      </c>
      <c r="B24" s="2">
        <v>46257</v>
      </c>
      <c r="C24" s="3" t="s">
        <v>27</v>
      </c>
      <c r="D24" s="3" t="s">
        <v>16</v>
      </c>
      <c r="E24" s="3" t="s">
        <v>21</v>
      </c>
      <c r="F24" s="3">
        <v>5</v>
      </c>
      <c r="G24" s="12">
        <v>1750</v>
      </c>
      <c r="H24" s="12">
        <f t="shared" si="0"/>
        <v>8750</v>
      </c>
      <c r="I24" s="4" t="s">
        <v>18</v>
      </c>
    </row>
    <row r="25" spans="1:9" x14ac:dyDescent="0.3">
      <c r="A25" s="1" t="s">
        <v>47</v>
      </c>
      <c r="B25" s="2">
        <v>46258</v>
      </c>
      <c r="C25" s="3" t="s">
        <v>29</v>
      </c>
      <c r="D25" s="3" t="s">
        <v>11</v>
      </c>
      <c r="E25" s="3" t="s">
        <v>25</v>
      </c>
      <c r="F25" s="3">
        <v>1</v>
      </c>
      <c r="G25" s="12">
        <v>16000</v>
      </c>
      <c r="H25" s="12">
        <f t="shared" si="0"/>
        <v>16000</v>
      </c>
      <c r="I25" s="4" t="s">
        <v>22</v>
      </c>
    </row>
    <row r="26" spans="1:9" x14ac:dyDescent="0.3">
      <c r="A26" s="1" t="s">
        <v>48</v>
      </c>
      <c r="B26" s="2">
        <v>46259</v>
      </c>
      <c r="C26" s="3" t="s">
        <v>10</v>
      </c>
      <c r="D26" s="3" t="s">
        <v>11</v>
      </c>
      <c r="E26" s="3" t="s">
        <v>12</v>
      </c>
      <c r="F26" s="3">
        <v>2</v>
      </c>
      <c r="G26" s="12">
        <v>49500</v>
      </c>
      <c r="H26" s="12">
        <f t="shared" si="0"/>
        <v>99000</v>
      </c>
      <c r="I26" s="4" t="s">
        <v>13</v>
      </c>
    </row>
    <row r="27" spans="1:9" x14ac:dyDescent="0.3">
      <c r="A27" s="1" t="s">
        <v>49</v>
      </c>
      <c r="B27" s="2">
        <v>46260</v>
      </c>
      <c r="C27" s="3" t="s">
        <v>15</v>
      </c>
      <c r="D27" s="3" t="s">
        <v>16</v>
      </c>
      <c r="E27" s="3" t="s">
        <v>17</v>
      </c>
      <c r="F27" s="3">
        <v>9</v>
      </c>
      <c r="G27" s="12">
        <v>720</v>
      </c>
      <c r="H27" s="12">
        <f t="shared" si="0"/>
        <v>6480</v>
      </c>
      <c r="I27" s="4" t="s">
        <v>18</v>
      </c>
    </row>
    <row r="28" spans="1:9" x14ac:dyDescent="0.3">
      <c r="A28" s="1" t="s">
        <v>50</v>
      </c>
      <c r="B28" s="2">
        <v>46261</v>
      </c>
      <c r="C28" s="3" t="s">
        <v>20</v>
      </c>
      <c r="D28" s="3" t="s">
        <v>16</v>
      </c>
      <c r="E28" s="3" t="s">
        <v>21</v>
      </c>
      <c r="F28" s="3">
        <v>3</v>
      </c>
      <c r="G28" s="12">
        <v>1250</v>
      </c>
      <c r="H28" s="12">
        <f t="shared" si="0"/>
        <v>3750</v>
      </c>
      <c r="I28" s="4" t="s">
        <v>22</v>
      </c>
    </row>
    <row r="29" spans="1:9" x14ac:dyDescent="0.3">
      <c r="A29" s="1" t="s">
        <v>51</v>
      </c>
      <c r="B29" s="2">
        <v>46262</v>
      </c>
      <c r="C29" s="3" t="s">
        <v>24</v>
      </c>
      <c r="D29" s="3" t="s">
        <v>11</v>
      </c>
      <c r="E29" s="3" t="s">
        <v>25</v>
      </c>
      <c r="F29" s="3">
        <v>2</v>
      </c>
      <c r="G29" s="12">
        <v>13000</v>
      </c>
      <c r="H29" s="12">
        <f t="shared" si="0"/>
        <v>26000</v>
      </c>
      <c r="I29" s="4" t="s">
        <v>13</v>
      </c>
    </row>
    <row r="30" spans="1:9" x14ac:dyDescent="0.3">
      <c r="A30" s="1" t="s">
        <v>52</v>
      </c>
      <c r="B30" s="2">
        <v>46263</v>
      </c>
      <c r="C30" s="3" t="s">
        <v>27</v>
      </c>
      <c r="D30" s="3" t="s">
        <v>16</v>
      </c>
      <c r="E30" s="3" t="s">
        <v>12</v>
      </c>
      <c r="F30" s="3">
        <v>4</v>
      </c>
      <c r="G30" s="12">
        <v>1900</v>
      </c>
      <c r="H30" s="12">
        <f t="shared" si="0"/>
        <v>7600</v>
      </c>
      <c r="I30" s="4" t="s">
        <v>22</v>
      </c>
    </row>
    <row r="31" spans="1:9" x14ac:dyDescent="0.3">
      <c r="A31" s="1" t="s">
        <v>53</v>
      </c>
      <c r="B31" s="2">
        <v>46264</v>
      </c>
      <c r="C31" s="3" t="s">
        <v>29</v>
      </c>
      <c r="D31" s="3" t="s">
        <v>11</v>
      </c>
      <c r="E31" s="3" t="s">
        <v>17</v>
      </c>
      <c r="F31" s="3">
        <v>2</v>
      </c>
      <c r="G31" s="12">
        <v>15000</v>
      </c>
      <c r="H31" s="12">
        <f t="shared" si="0"/>
        <v>30000</v>
      </c>
      <c r="I31" s="4" t="s">
        <v>18</v>
      </c>
    </row>
    <row r="32" spans="1:9" x14ac:dyDescent="0.3">
      <c r="A32" s="1" t="s">
        <v>54</v>
      </c>
      <c r="B32" s="2">
        <v>46265</v>
      </c>
      <c r="C32" s="3" t="s">
        <v>10</v>
      </c>
      <c r="D32" s="3" t="s">
        <v>11</v>
      </c>
      <c r="E32" s="3" t="s">
        <v>21</v>
      </c>
      <c r="F32" s="3">
        <v>1</v>
      </c>
      <c r="G32" s="12">
        <v>50000</v>
      </c>
      <c r="H32" s="12">
        <f t="shared" si="0"/>
        <v>50000</v>
      </c>
      <c r="I32" s="4" t="s">
        <v>13</v>
      </c>
    </row>
    <row r="33" spans="1:9" x14ac:dyDescent="0.3">
      <c r="A33" s="1" t="s">
        <v>55</v>
      </c>
      <c r="B33" s="2">
        <v>46266</v>
      </c>
      <c r="C33" s="3" t="s">
        <v>15</v>
      </c>
      <c r="D33" s="3" t="s">
        <v>16</v>
      </c>
      <c r="E33" s="3" t="s">
        <v>25</v>
      </c>
      <c r="F33" s="3">
        <v>6</v>
      </c>
      <c r="G33" s="12">
        <v>700</v>
      </c>
      <c r="H33" s="12">
        <f t="shared" si="0"/>
        <v>4200</v>
      </c>
      <c r="I33" s="4" t="s">
        <v>22</v>
      </c>
    </row>
    <row r="34" spans="1:9" x14ac:dyDescent="0.3">
      <c r="A34" s="1" t="s">
        <v>56</v>
      </c>
      <c r="B34" s="2">
        <v>46267</v>
      </c>
      <c r="C34" s="3" t="s">
        <v>20</v>
      </c>
      <c r="D34" s="3" t="s">
        <v>16</v>
      </c>
      <c r="E34" s="3" t="s">
        <v>12</v>
      </c>
      <c r="F34" s="3">
        <v>5</v>
      </c>
      <c r="G34" s="12">
        <v>1200</v>
      </c>
      <c r="H34" s="12">
        <f t="shared" si="0"/>
        <v>6000</v>
      </c>
      <c r="I34" s="4" t="s">
        <v>18</v>
      </c>
    </row>
    <row r="35" spans="1:9" x14ac:dyDescent="0.3">
      <c r="A35" s="1" t="s">
        <v>57</v>
      </c>
      <c r="B35" s="2">
        <v>46268</v>
      </c>
      <c r="C35" s="3" t="s">
        <v>24</v>
      </c>
      <c r="D35" s="3" t="s">
        <v>11</v>
      </c>
      <c r="E35" s="3" t="s">
        <v>17</v>
      </c>
      <c r="F35" s="3">
        <v>3</v>
      </c>
      <c r="G35" s="12">
        <v>12800</v>
      </c>
      <c r="H35" s="12">
        <f t="shared" si="0"/>
        <v>38400</v>
      </c>
      <c r="I35" s="4" t="s">
        <v>13</v>
      </c>
    </row>
    <row r="36" spans="1:9" x14ac:dyDescent="0.3">
      <c r="A36" s="1" t="s">
        <v>58</v>
      </c>
      <c r="B36" s="2">
        <v>46269</v>
      </c>
      <c r="C36" s="3" t="s">
        <v>27</v>
      </c>
      <c r="D36" s="3" t="s">
        <v>16</v>
      </c>
      <c r="E36" s="3" t="s">
        <v>21</v>
      </c>
      <c r="F36" s="3">
        <v>7</v>
      </c>
      <c r="G36" s="12">
        <v>1700</v>
      </c>
      <c r="H36" s="12">
        <f t="shared" si="0"/>
        <v>11900</v>
      </c>
      <c r="I36" s="4" t="s">
        <v>22</v>
      </c>
    </row>
    <row r="37" spans="1:9" x14ac:dyDescent="0.3">
      <c r="A37" s="1" t="s">
        <v>59</v>
      </c>
      <c r="B37" s="2">
        <v>46270</v>
      </c>
      <c r="C37" s="3" t="s">
        <v>29</v>
      </c>
      <c r="D37" s="3" t="s">
        <v>11</v>
      </c>
      <c r="E37" s="3" t="s">
        <v>25</v>
      </c>
      <c r="F37" s="3">
        <v>1</v>
      </c>
      <c r="G37" s="12">
        <v>15200</v>
      </c>
      <c r="H37" s="12">
        <f t="shared" si="0"/>
        <v>15200</v>
      </c>
      <c r="I37" s="4" t="s">
        <v>13</v>
      </c>
    </row>
    <row r="38" spans="1:9" x14ac:dyDescent="0.3">
      <c r="A38" s="1" t="s">
        <v>60</v>
      </c>
      <c r="B38" s="2">
        <v>46271</v>
      </c>
      <c r="C38" s="3" t="s">
        <v>10</v>
      </c>
      <c r="D38" s="3" t="s">
        <v>11</v>
      </c>
      <c r="E38" s="3" t="s">
        <v>12</v>
      </c>
      <c r="F38" s="3">
        <v>2</v>
      </c>
      <c r="G38" s="12">
        <v>53000</v>
      </c>
      <c r="H38" s="12">
        <f t="shared" si="0"/>
        <v>106000</v>
      </c>
      <c r="I38" s="4" t="s">
        <v>22</v>
      </c>
    </row>
    <row r="39" spans="1:9" x14ac:dyDescent="0.3">
      <c r="A39" s="1" t="s">
        <v>61</v>
      </c>
      <c r="B39" s="2">
        <v>46272</v>
      </c>
      <c r="C39" s="3" t="s">
        <v>15</v>
      </c>
      <c r="D39" s="3" t="s">
        <v>16</v>
      </c>
      <c r="E39" s="3" t="s">
        <v>17</v>
      </c>
      <c r="F39" s="3">
        <v>8</v>
      </c>
      <c r="G39" s="12">
        <v>690</v>
      </c>
      <c r="H39" s="12">
        <f t="shared" si="0"/>
        <v>5520</v>
      </c>
      <c r="I39" s="4" t="s">
        <v>18</v>
      </c>
    </row>
    <row r="40" spans="1:9" x14ac:dyDescent="0.3">
      <c r="A40" s="1" t="s">
        <v>62</v>
      </c>
      <c r="B40" s="2">
        <v>46273</v>
      </c>
      <c r="C40" s="3" t="s">
        <v>20</v>
      </c>
      <c r="D40" s="3" t="s">
        <v>16</v>
      </c>
      <c r="E40" s="3" t="s">
        <v>21</v>
      </c>
      <c r="F40" s="3">
        <v>4</v>
      </c>
      <c r="G40" s="12">
        <v>1180</v>
      </c>
      <c r="H40" s="12">
        <f t="shared" si="0"/>
        <v>4720</v>
      </c>
      <c r="I40" s="4" t="s">
        <v>13</v>
      </c>
    </row>
    <row r="41" spans="1:9" x14ac:dyDescent="0.3">
      <c r="A41" s="5" t="s">
        <v>63</v>
      </c>
      <c r="B41" s="6">
        <v>46274</v>
      </c>
      <c r="C41" s="7" t="s">
        <v>24</v>
      </c>
      <c r="D41" s="7" t="s">
        <v>11</v>
      </c>
      <c r="E41" s="7" t="s">
        <v>25</v>
      </c>
      <c r="F41" s="7">
        <v>2</v>
      </c>
      <c r="G41" s="13">
        <v>13200</v>
      </c>
      <c r="H41" s="13">
        <f t="shared" si="0"/>
        <v>26400</v>
      </c>
      <c r="I41" s="8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5047A-7871-4CB2-AF3E-61EDE8C38F03}">
  <dimension ref="A3:B10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15" t="s">
        <v>64</v>
      </c>
      <c r="B3" t="s">
        <v>66</v>
      </c>
    </row>
    <row r="4" spans="1:2" x14ac:dyDescent="0.3">
      <c r="A4" s="16" t="s">
        <v>27</v>
      </c>
      <c r="B4" s="17">
        <v>51050</v>
      </c>
    </row>
    <row r="5" spans="1:2" x14ac:dyDescent="0.3">
      <c r="A5" s="16" t="s">
        <v>20</v>
      </c>
      <c r="B5" s="17">
        <v>35870</v>
      </c>
    </row>
    <row r="6" spans="1:2" x14ac:dyDescent="0.3">
      <c r="A6" s="16" t="s">
        <v>10</v>
      </c>
      <c r="B6" s="17">
        <v>547000</v>
      </c>
    </row>
    <row r="7" spans="1:2" x14ac:dyDescent="0.3">
      <c r="A7" s="16" t="s">
        <v>24</v>
      </c>
      <c r="B7" s="17">
        <v>195800</v>
      </c>
    </row>
    <row r="8" spans="1:2" x14ac:dyDescent="0.3">
      <c r="A8" s="16" t="s">
        <v>15</v>
      </c>
      <c r="B8" s="17">
        <v>37160</v>
      </c>
    </row>
    <row r="9" spans="1:2" x14ac:dyDescent="0.3">
      <c r="A9" s="16" t="s">
        <v>29</v>
      </c>
      <c r="B9" s="17">
        <v>120700</v>
      </c>
    </row>
    <row r="10" spans="1:2" x14ac:dyDescent="0.3">
      <c r="A10" s="16" t="s">
        <v>65</v>
      </c>
      <c r="B10" s="17">
        <v>987580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3CA1-9E99-4B47-A432-73D99F834DDB}">
  <dimension ref="A3:B6"/>
  <sheetViews>
    <sheetView workbookViewId="0">
      <selection activeCell="N19" sqref="N19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15" t="s">
        <v>64</v>
      </c>
      <c r="B3" t="s">
        <v>66</v>
      </c>
    </row>
    <row r="4" spans="1:2" x14ac:dyDescent="0.3">
      <c r="A4" s="16" t="s">
        <v>16</v>
      </c>
      <c r="B4" s="17">
        <v>124080</v>
      </c>
    </row>
    <row r="5" spans="1:2" x14ac:dyDescent="0.3">
      <c r="A5" s="16" t="s">
        <v>11</v>
      </c>
      <c r="B5" s="17">
        <v>863500</v>
      </c>
    </row>
    <row r="6" spans="1:2" x14ac:dyDescent="0.3">
      <c r="A6" s="16" t="s">
        <v>65</v>
      </c>
      <c r="B6" s="17">
        <v>987580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E8DF-CB6D-4E6C-BC37-DF1F4449C23A}">
  <dimension ref="A3:B8"/>
  <sheetViews>
    <sheetView workbookViewId="0">
      <selection activeCell="J3" sqref="J3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15" t="s">
        <v>64</v>
      </c>
      <c r="B3" t="s">
        <v>66</v>
      </c>
    </row>
    <row r="4" spans="1:2" x14ac:dyDescent="0.3">
      <c r="A4" s="16" t="s">
        <v>21</v>
      </c>
      <c r="B4" s="17">
        <v>252820</v>
      </c>
    </row>
    <row r="5" spans="1:2" x14ac:dyDescent="0.3">
      <c r="A5" s="16" t="s">
        <v>12</v>
      </c>
      <c r="B5" s="17">
        <v>381100</v>
      </c>
    </row>
    <row r="6" spans="1:2" x14ac:dyDescent="0.3">
      <c r="A6" s="16" t="s">
        <v>17</v>
      </c>
      <c r="B6" s="17">
        <v>190400</v>
      </c>
    </row>
    <row r="7" spans="1:2" x14ac:dyDescent="0.3">
      <c r="A7" s="16" t="s">
        <v>25</v>
      </c>
      <c r="B7" s="17">
        <v>163260</v>
      </c>
    </row>
    <row r="8" spans="1:2" x14ac:dyDescent="0.3">
      <c r="A8" s="16" t="s">
        <v>65</v>
      </c>
      <c r="B8" s="17">
        <v>987580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8982-2C18-4BAE-99B7-0080D82DA3F8}">
  <dimension ref="A3:B7"/>
  <sheetViews>
    <sheetView workbookViewId="0">
      <selection activeCell="N13" sqref="N13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15" t="s">
        <v>64</v>
      </c>
      <c r="B3" t="s">
        <v>66</v>
      </c>
    </row>
    <row r="4" spans="1:2" x14ac:dyDescent="0.3">
      <c r="A4" s="16" t="s">
        <v>22</v>
      </c>
      <c r="B4" s="17">
        <v>362050</v>
      </c>
    </row>
    <row r="5" spans="1:2" x14ac:dyDescent="0.3">
      <c r="A5" s="16" t="s">
        <v>18</v>
      </c>
      <c r="B5" s="17">
        <v>105710</v>
      </c>
    </row>
    <row r="6" spans="1:2" x14ac:dyDescent="0.3">
      <c r="A6" s="16" t="s">
        <v>13</v>
      </c>
      <c r="B6" s="17">
        <v>519820</v>
      </c>
    </row>
    <row r="7" spans="1:2" x14ac:dyDescent="0.3">
      <c r="A7" s="16" t="s">
        <v>65</v>
      </c>
      <c r="B7" s="17">
        <v>987580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 SHEET</vt:lpstr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Vibha Varma</dc:creator>
  <cp:lastModifiedBy>Vibha Varma</cp:lastModifiedBy>
  <dcterms:created xsi:type="dcterms:W3CDTF">2026-09-07T08:54:18Z</dcterms:created>
  <dcterms:modified xsi:type="dcterms:W3CDTF">2026-09-07T18:31:39Z</dcterms:modified>
</cp:coreProperties>
</file>